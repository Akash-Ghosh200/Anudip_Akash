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e4c637b705ec84/Documents/"/>
    </mc:Choice>
  </mc:AlternateContent>
  <xr:revisionPtr revIDLastSave="0" documentId="8_{BA55EFEC-7C0E-4F1E-94F0-D7482C153DEA}" xr6:coauthVersionLast="47" xr6:coauthVersionMax="47" xr10:uidLastSave="{00000000-0000-0000-0000-000000000000}"/>
  <bookViews>
    <workbookView xWindow="-108" yWindow="-108" windowWidth="23256" windowHeight="12456" xr2:uid="{E97FFC20-724F-41FC-9203-21753A531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<sst xmlns="http://schemas.openxmlformats.org/spreadsheetml/2006/main" count="46" uniqueCount="42">
  <si>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</si>
  <si>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</si>
  <si>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</si>
  <si>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</si>
  <si>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</si>
  <si>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</si>
  <si>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</si>
  <si>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</si>
  <si>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</si>
  <si>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</si>
  <si>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</si>
  <si>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</si>
  <si>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</si>
  <si>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</si>
  <si>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</si>
  <si>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1. Use the IF function to evaluate whether each product met its sales</t>
  </si>
  <si>
    <t>target.</t>
  </si>
  <si>
    <t>2. Use the IF function to determine if a product is eligible for a regional</t>
  </si>
  <si>
    <t>bonus. Products in the "North" region with sales over 200 are eligible.</t>
  </si>
  <si>
    <t>3. Use nested IF functions to assign a commission rate based on sales.</t>
  </si>
  <si>
    <t>Sales &gt;= 200 get a 10% commission, sales &gt;= 150 get a 7%</t>
  </si>
  <si>
    <t>commission, and others get a 5% commission.</t>
  </si>
  <si>
    <t>4. Use the IF function to calculate a bonus amount. If sales met or</t>
  </si>
  <si>
    <t>exceeded the target, the bonus is 10% of the sales; otherwise, it's</t>
  </si>
  <si>
    <t>5%.</t>
  </si>
  <si>
    <t>5. Use the IF function to categorize sales performance as "Excellent"</t>
  </si>
  <si>
    <t>(&gt;=200), "Good" (&gt;=150), or "Needs Improvement" (&lt;150).</t>
  </si>
  <si>
    <t>6. Use the IF function to assign a price tier based on the sales value.</t>
  </si>
  <si>
    <t>"High" for sales &gt; 200, "Medium" for sales between 100 and 200, and</t>
  </si>
  <si>
    <t>"Low" for sales &lt; 100.</t>
  </si>
  <si>
    <t>7. Use the IF function to calculate the year-end bonus. If sales &gt;= 150</t>
  </si>
  <si>
    <t>and region is "North", the bonus is $500, otherwise, it's $300.</t>
  </si>
  <si>
    <t>8. Use the IF function to mark high performers. A product is a high</t>
  </si>
  <si>
    <t>performer if its sales are in the top 25% of all sales.</t>
  </si>
  <si>
    <t>Target Met or Not</t>
  </si>
  <si>
    <t>Regional Bonus</t>
  </si>
  <si>
    <t>Comission Rate</t>
  </si>
  <si>
    <t>Bonus Rate</t>
  </si>
  <si>
    <t>Performance</t>
  </si>
  <si>
    <t>Price Tier</t>
  </si>
  <si>
    <t>Year End Bonus</t>
  </si>
  <si>
    <t>Performers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</si>
</sst>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F336-59EE-4030-9FF6-96519D5B620B}">
  <dimension ref="A1:M27"/>
  <sheetViews>
    <sheetView tabSelected="1" workbookViewId="0">
      <selection activeCell="H18" sqref="H18"/>
    </sheetView>
  </sheetViews>
  <sheetFormatPr defaultRowHeight="14.4" x14ac:dyDescent="0.3"/>
  <cols>
    <col min="6" max="6" width="16.109375" bestFit="1" customWidth="1"/>
    <col min="7" max="7" width="14" bestFit="1" customWidth="1"/>
    <col min="8" max="8" width="13.88671875" bestFit="1" customWidth="1"/>
    <col min="9" max="9" width="10.44140625" bestFit="1" customWidth="1"/>
    <col min="10" max="10" width="16.88671875" bestFit="1" customWidth="1"/>
    <col min="12" max="12" width="14.109375" bestFit="1" customWidth="1"/>
    <col min="13" max="13" width="13.44140625" bestFit="1" customWidth="1"/>
  </cols>
  <sheetData>
    <row r="1" spans="1:13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34</v>
      </c>
      <c r="G1" s="13" t="s">
        <v>35</v>
      </c>
      <c r="H1" s="13" t="s">
        <v>36</v>
      </c>
      <c r="I1" s="13" t="s">
        <v>37</v>
      </c>
      <c r="J1" s="13" t="s">
        <v>38</v>
      </c>
      <c r="K1" s="13" t="s">
        <v>39</v>
      </c>
      <c r="L1" s="13" t="s">
        <v>40</v>
      </c>
      <c r="M1" s="13" t="s">
        <v>41</v>
      </c>
    </row>
    <row r="2" spans="1:13" x14ac:dyDescent="0.3">
      <c r="A2" s="14">
        <v>101</v>
      </c>
      <c r="B2" s="14" t="s">
        <v>5</v>
      </c>
      <c r="C2" s="14">
        <v>120</v>
      </c>
      <c r="D2" s="14">
        <v>150</v>
      </c>
      <c r="E2" s="14" t="s">
        <v>6</v>
      </c>
      <c r="F2" s="14" t="str">
        <f>IF(C2&gt;=D2,"Target Met","Target Met Not")</f>
        <v>Target Met Not</v>
      </c>
      <c r="G2" s="14" t="str">
        <f>IF(AND(E2=$G$11,C2&gt;$G$12),"Eligible","Not Eligible")</f>
        <v>Not Eligible</v>
      </c>
      <c r="H2" s="14" t="str">
        <f>IF(C2&gt;=200,"10%",IF(C2&gt;=150,"7%","5%"))</f>
        <v>5%</v>
      </c>
      <c r="I2" s="14" t="str">
        <f>IF(C2&gt;=D2,"10%","5%")</f>
        <v>5%</v>
      </c>
      <c r="J2" s="14" t="str">
        <f>IF(C2&gt;=200,"Excellent",IF(C2&gt;=150,"Good","Need Improvement"))</f>
        <v>Need Improvement</v>
      </c>
      <c r="K2" s="14" t="str">
        <f>IF(C2&gt;200,"High",IF(C2&gt;=100,"Medium","Low"))</f>
        <v>Medium</v>
      </c>
      <c r="L2" s="14" t="str">
        <f>IF(AND(C2&gt;=$G$25,E2=$G$24),"500","300")</f>
        <v>300</v>
      </c>
      <c r="M2" s="14" t="str">
        <f>IF(C2&gt;=_xlfn.PERCENTILE.INC($C$2:$C$7,0.75),"High Performer","Low Performer")</f>
        <v>Low Performer</v>
      </c>
    </row>
    <row r="3" spans="1:13" x14ac:dyDescent="0.3">
      <c r="A3" s="14">
        <v>102</v>
      </c>
      <c r="B3" s="14" t="s">
        <v>7</v>
      </c>
      <c r="C3" s="14">
        <v>150</v>
      </c>
      <c r="D3" s="14">
        <v>140</v>
      </c>
      <c r="E3" s="14" t="s">
        <v>8</v>
      </c>
      <c r="F3" s="14" t="str">
        <f t="shared" ref="F3:F7" si="0">IF(C3&gt;=D3,"Target Met","Target Met Not")</f>
        <v>Target Met</v>
      </c>
      <c r="G3" s="14" t="str">
        <f t="shared" ref="G3:G7" si="1">IF(AND(E3=$G$11,C3&gt;$G$12),"Eligible","Not Eligible")</f>
        <v>Not Eligible</v>
      </c>
      <c r="H3" s="14" t="str">
        <f t="shared" ref="H3:H7" si="2">IF(C3&gt;=200,"10%",IF(C3&gt;=150,"7%","5%"))</f>
        <v>7%</v>
      </c>
      <c r="I3" s="14" t="str">
        <f t="shared" ref="I3:I7" si="3">IF(C3&gt;=D3,"10%","5%")</f>
        <v>10%</v>
      </c>
      <c r="J3" s="14" t="str">
        <f t="shared" ref="J3:J7" si="4">IF(C3&gt;=200,"Excellent",IF(C3&gt;=150,"Good","Need Improvement"))</f>
        <v>Good</v>
      </c>
      <c r="K3" s="14" t="str">
        <f t="shared" ref="K3:K7" si="5">IF(C3&gt;200,"High",IF(C3&gt;=100,"Medium","Low"))</f>
        <v>Medium</v>
      </c>
      <c r="L3" s="14" t="str">
        <f t="shared" ref="L3:L7" si="6">IF(AND(C3&gt;=$G$25,E3=$G$24),"500","300")</f>
        <v>300</v>
      </c>
      <c r="M3" s="14" t="str">
        <f t="shared" ref="M3:M7" si="7">IF(C3&gt;=_xlfn.PERCENTILE.INC($C$2:$C$7,0.75),"High Performer","Low Performer")</f>
        <v>Low Performer</v>
      </c>
    </row>
    <row r="4" spans="1:13" x14ac:dyDescent="0.3">
      <c r="A4" s="14">
        <v>103</v>
      </c>
      <c r="B4" s="14" t="s">
        <v>9</v>
      </c>
      <c r="C4" s="14">
        <v>200</v>
      </c>
      <c r="D4" s="14">
        <v>200</v>
      </c>
      <c r="E4" s="14" t="s">
        <v>10</v>
      </c>
      <c r="F4" s="14" t="str">
        <f t="shared" si="0"/>
        <v>Target Met</v>
      </c>
      <c r="G4" s="14" t="str">
        <f t="shared" si="1"/>
        <v>Not Eligible</v>
      </c>
      <c r="H4" s="14" t="str">
        <f t="shared" si="2"/>
        <v>10%</v>
      </c>
      <c r="I4" s="14" t="str">
        <f t="shared" si="3"/>
        <v>10%</v>
      </c>
      <c r="J4" s="14" t="str">
        <f t="shared" si="4"/>
        <v>Excellent</v>
      </c>
      <c r="K4" s="14" t="str">
        <f t="shared" si="5"/>
        <v>Medium</v>
      </c>
      <c r="L4" s="14" t="str">
        <f t="shared" si="6"/>
        <v>300</v>
      </c>
      <c r="M4" s="14" t="str">
        <f t="shared" si="7"/>
        <v>High Performer</v>
      </c>
    </row>
    <row r="5" spans="1:13" x14ac:dyDescent="0.3">
      <c r="A5" s="14">
        <v>104</v>
      </c>
      <c r="B5" s="14" t="s">
        <v>11</v>
      </c>
      <c r="C5" s="14">
        <v>90</v>
      </c>
      <c r="D5" s="14">
        <v>100</v>
      </c>
      <c r="E5" s="14" t="s">
        <v>12</v>
      </c>
      <c r="F5" s="14" t="str">
        <f t="shared" si="0"/>
        <v>Target Met Not</v>
      </c>
      <c r="G5" s="14" t="str">
        <f t="shared" si="1"/>
        <v>Not Eligible</v>
      </c>
      <c r="H5" s="14" t="str">
        <f t="shared" si="2"/>
        <v>5%</v>
      </c>
      <c r="I5" s="14" t="str">
        <f t="shared" si="3"/>
        <v>5%</v>
      </c>
      <c r="J5" s="14" t="str">
        <f t="shared" si="4"/>
        <v>Need Improvement</v>
      </c>
      <c r="K5" s="14" t="str">
        <f t="shared" si="5"/>
        <v>Low</v>
      </c>
      <c r="L5" s="14" t="str">
        <f t="shared" si="6"/>
        <v>300</v>
      </c>
      <c r="M5" s="14" t="str">
        <f t="shared" si="7"/>
        <v>Low Performer</v>
      </c>
    </row>
    <row r="6" spans="1:13" x14ac:dyDescent="0.3">
      <c r="A6" s="14">
        <v>105</v>
      </c>
      <c r="B6" s="14" t="s">
        <v>13</v>
      </c>
      <c r="C6" s="14">
        <v>220</v>
      </c>
      <c r="D6" s="14">
        <v>210</v>
      </c>
      <c r="E6" s="14" t="s">
        <v>6</v>
      </c>
      <c r="F6" s="14" t="str">
        <f t="shared" si="0"/>
        <v>Target Met</v>
      </c>
      <c r="G6" s="14" t="str">
        <f t="shared" si="1"/>
        <v>Eligible</v>
      </c>
      <c r="H6" s="14" t="str">
        <f t="shared" si="2"/>
        <v>10%</v>
      </c>
      <c r="I6" s="14" t="str">
        <f t="shared" si="3"/>
        <v>10%</v>
      </c>
      <c r="J6" s="14" t="str">
        <f t="shared" si="4"/>
        <v>Excellent</v>
      </c>
      <c r="K6" s="14" t="str">
        <f t="shared" si="5"/>
        <v>High</v>
      </c>
      <c r="L6" s="14" t="str">
        <f t="shared" si="6"/>
        <v>500</v>
      </c>
      <c r="M6" s="14" t="str">
        <f t="shared" si="7"/>
        <v>High Performer</v>
      </c>
    </row>
    <row r="7" spans="1:13" x14ac:dyDescent="0.3">
      <c r="A7" s="14">
        <v>106</v>
      </c>
      <c r="B7" s="14" t="s">
        <v>14</v>
      </c>
      <c r="C7" s="14">
        <v>130</v>
      </c>
      <c r="D7" s="14">
        <v>160</v>
      </c>
      <c r="E7" s="14" t="s">
        <v>8</v>
      </c>
      <c r="F7" s="14" t="str">
        <f t="shared" si="0"/>
        <v>Target Met Not</v>
      </c>
      <c r="G7" s="14" t="str">
        <f t="shared" si="1"/>
        <v>Not Eligible</v>
      </c>
      <c r="H7" s="14" t="str">
        <f t="shared" si="2"/>
        <v>5%</v>
      </c>
      <c r="I7" s="14" t="str">
        <f t="shared" si="3"/>
        <v>5%</v>
      </c>
      <c r="J7" s="14" t="str">
        <f t="shared" si="4"/>
        <v>Need Improvement</v>
      </c>
      <c r="K7" s="14" t="str">
        <f t="shared" si="5"/>
        <v>Medium</v>
      </c>
      <c r="L7" s="14" t="str">
        <f t="shared" si="6"/>
        <v>300</v>
      </c>
      <c r="M7" s="14" t="str">
        <f t="shared" si="7"/>
        <v>Low Performer</v>
      </c>
    </row>
    <row r="8" spans="1:13" ht="15" thickBot="1" x14ac:dyDescent="0.35"/>
    <row r="9" spans="1:13" x14ac:dyDescent="0.3">
      <c r="A9" s="1" t="s">
        <v>15</v>
      </c>
      <c r="B9" s="2"/>
      <c r="C9" s="2"/>
      <c r="D9" s="2"/>
      <c r="E9" s="2"/>
      <c r="F9" s="3"/>
      <c r="G9" s="10"/>
    </row>
    <row r="10" spans="1:13" x14ac:dyDescent="0.3">
      <c r="A10" s="4" t="s">
        <v>16</v>
      </c>
      <c r="B10" s="5"/>
      <c r="C10" s="5"/>
      <c r="D10" s="5"/>
      <c r="E10" s="5"/>
      <c r="F10" s="6"/>
      <c r="G10" s="10"/>
    </row>
    <row r="11" spans="1:13" x14ac:dyDescent="0.3">
      <c r="A11" s="4" t="s">
        <v>17</v>
      </c>
      <c r="B11" s="5"/>
      <c r="C11" s="5"/>
      <c r="D11" s="5"/>
      <c r="E11" s="5"/>
      <c r="F11" s="5"/>
      <c r="G11" s="11" t="s">
        <v>6</v>
      </c>
    </row>
    <row r="12" spans="1:13" x14ac:dyDescent="0.3">
      <c r="A12" s="4" t="s">
        <v>18</v>
      </c>
      <c r="B12" s="5"/>
      <c r="C12" s="5"/>
      <c r="D12" s="5"/>
      <c r="E12" s="5"/>
      <c r="F12" s="5"/>
      <c r="G12" s="11">
        <v>200</v>
      </c>
    </row>
    <row r="13" spans="1:13" x14ac:dyDescent="0.3">
      <c r="A13" s="4" t="s">
        <v>19</v>
      </c>
      <c r="B13" s="5"/>
      <c r="C13" s="5"/>
      <c r="D13" s="5"/>
      <c r="E13" s="5"/>
      <c r="F13" s="6"/>
      <c r="G13" s="10"/>
    </row>
    <row r="14" spans="1:13" x14ac:dyDescent="0.3">
      <c r="A14" s="4" t="s">
        <v>20</v>
      </c>
      <c r="B14" s="5"/>
      <c r="C14" s="5"/>
      <c r="D14" s="5"/>
      <c r="E14" s="5"/>
      <c r="F14" s="6"/>
      <c r="G14" s="10"/>
    </row>
    <row r="15" spans="1:13" x14ac:dyDescent="0.3">
      <c r="A15" s="4" t="s">
        <v>21</v>
      </c>
      <c r="B15" s="5"/>
      <c r="C15" s="5"/>
      <c r="D15" s="5"/>
      <c r="E15" s="5"/>
      <c r="F15" s="6"/>
      <c r="G15" s="10"/>
    </row>
    <row r="16" spans="1:13" x14ac:dyDescent="0.3">
      <c r="A16" s="4" t="s">
        <v>22</v>
      </c>
      <c r="B16" s="5"/>
      <c r="C16" s="5"/>
      <c r="D16" s="5"/>
      <c r="E16" s="5"/>
      <c r="F16" s="6"/>
      <c r="G16" s="10"/>
    </row>
    <row r="17" spans="1:7" x14ac:dyDescent="0.3">
      <c r="A17" s="4" t="s">
        <v>23</v>
      </c>
      <c r="B17" s="5"/>
      <c r="C17" s="5"/>
      <c r="D17" s="5"/>
      <c r="E17" s="5"/>
      <c r="F17" s="6"/>
      <c r="G17" s="10"/>
    </row>
    <row r="18" spans="1:7" x14ac:dyDescent="0.3">
      <c r="A18" s="4" t="s">
        <v>24</v>
      </c>
      <c r="B18" s="5"/>
      <c r="C18" s="5"/>
      <c r="D18" s="5"/>
      <c r="E18" s="5"/>
      <c r="F18" s="6"/>
      <c r="G18" s="10"/>
    </row>
    <row r="19" spans="1:7" x14ac:dyDescent="0.3">
      <c r="A19" s="4" t="s">
        <v>25</v>
      </c>
      <c r="B19" s="5"/>
      <c r="C19" s="5"/>
      <c r="D19" s="5"/>
      <c r="E19" s="5"/>
      <c r="F19" s="6"/>
      <c r="G19" s="10"/>
    </row>
    <row r="20" spans="1:7" x14ac:dyDescent="0.3">
      <c r="A20" s="4" t="s">
        <v>26</v>
      </c>
      <c r="B20" s="5"/>
      <c r="C20" s="5"/>
      <c r="D20" s="5"/>
      <c r="E20" s="5"/>
      <c r="F20" s="6"/>
      <c r="G20" s="10"/>
    </row>
    <row r="21" spans="1:7" x14ac:dyDescent="0.3">
      <c r="A21" s="4" t="s">
        <v>27</v>
      </c>
      <c r="B21" s="5"/>
      <c r="C21" s="5"/>
      <c r="D21" s="5"/>
      <c r="E21" s="5"/>
      <c r="F21" s="6"/>
      <c r="G21" s="10"/>
    </row>
    <row r="22" spans="1:7" x14ac:dyDescent="0.3">
      <c r="A22" s="4" t="s">
        <v>28</v>
      </c>
      <c r="B22" s="5"/>
      <c r="C22" s="5"/>
      <c r="D22" s="5"/>
      <c r="E22" s="5"/>
      <c r="F22" s="6"/>
      <c r="G22" s="10"/>
    </row>
    <row r="23" spans="1:7" x14ac:dyDescent="0.3">
      <c r="A23" s="4" t="s">
        <v>29</v>
      </c>
      <c r="B23" s="5"/>
      <c r="C23" s="5"/>
      <c r="D23" s="5"/>
      <c r="E23" s="5"/>
      <c r="F23" s="6"/>
      <c r="G23" s="10"/>
    </row>
    <row r="24" spans="1:7" x14ac:dyDescent="0.3">
      <c r="A24" s="4" t="s">
        <v>30</v>
      </c>
      <c r="B24" s="5"/>
      <c r="C24" s="5"/>
      <c r="D24" s="5"/>
      <c r="E24" s="5"/>
      <c r="F24" s="5"/>
      <c r="G24" s="12" t="s">
        <v>6</v>
      </c>
    </row>
    <row r="25" spans="1:7" x14ac:dyDescent="0.3">
      <c r="A25" s="4" t="s">
        <v>31</v>
      </c>
      <c r="B25" s="5"/>
      <c r="C25" s="5"/>
      <c r="D25" s="5"/>
      <c r="E25" s="5"/>
      <c r="F25" s="5"/>
      <c r="G25" s="12">
        <v>150</v>
      </c>
    </row>
    <row r="26" spans="1:7" x14ac:dyDescent="0.3">
      <c r="A26" s="4" t="s">
        <v>32</v>
      </c>
      <c r="B26" s="5"/>
      <c r="C26" s="5"/>
      <c r="D26" s="5"/>
      <c r="E26" s="5"/>
      <c r="F26" s="6"/>
      <c r="G26" s="10"/>
    </row>
    <row r="27" spans="1:7" ht="15" thickBot="1" x14ac:dyDescent="0.35">
      <c r="A27" s="7" t="s">
        <v>33</v>
      </c>
      <c r="B27" s="8"/>
      <c r="C27" s="8"/>
      <c r="D27" s="8"/>
      <c r="E27" s="8"/>
      <c r="F27" s="9"/>
      <c r="G2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CHANDRIMA</dc:creator>
  <cp:lastModifiedBy>AKASH GHOSH</cp:lastModifiedBy>
  <dcterms:created xsi:type="dcterms:W3CDTF">2026-03-02T18:54:43Z</dcterms:created>
  <dcterms:modified xsi:type="dcterms:W3CDTF">2026-03-04T16:30:09Z</dcterms:modified>
</cp:coreProperties>
</file>